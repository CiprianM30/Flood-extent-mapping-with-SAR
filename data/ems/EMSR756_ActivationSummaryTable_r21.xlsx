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.biscardi\Desktop\Emergency\"/>
    </mc:Choice>
  </mc:AlternateContent>
  <xr:revisionPtr revIDLastSave="0" documentId="13_ncr:1_{183E5AC4-F8EA-48A7-BD36-BB7E28D7A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D27" i="1"/>
  <c r="E23" i="1"/>
  <c r="E21" i="1"/>
  <c r="I27" i="1"/>
  <c r="H27" i="1"/>
  <c r="F27" i="1"/>
  <c r="E27" i="1" l="1"/>
</calcChain>
</file>

<file path=xl/sharedStrings.xml><?xml version="1.0" encoding="utf-8"?>
<sst xmlns="http://schemas.openxmlformats.org/spreadsheetml/2006/main" count="64" uniqueCount="55">
  <si>
    <t>Area of Interest (AOI)</t>
  </si>
  <si>
    <t>Observed Event</t>
  </si>
  <si>
    <t>ID</t>
  </si>
  <si>
    <t>Name</t>
  </si>
  <si>
    <t>Max. extent [ha]</t>
  </si>
  <si>
    <t>Roads [km]</t>
  </si>
  <si>
    <t>AOI01</t>
  </si>
  <si>
    <t>Total</t>
  </si>
  <si>
    <t xml:space="preserve"> Latest observations [ha]</t>
  </si>
  <si>
    <t>Population [No.]</t>
  </si>
  <si>
    <t> Affected or potentially affected</t>
  </si>
  <si>
    <t>Built-up [ha.]</t>
  </si>
  <si>
    <t>AOI02</t>
  </si>
  <si>
    <t>AOI03</t>
  </si>
  <si>
    <t>AOI04</t>
  </si>
  <si>
    <t>Swidnica</t>
  </si>
  <si>
    <t>Jelenia Gora</t>
  </si>
  <si>
    <t>Nysa</t>
  </si>
  <si>
    <t>Raciborz</t>
  </si>
  <si>
    <t>AOI05</t>
  </si>
  <si>
    <t>Ostrava</t>
  </si>
  <si>
    <t>AOI06</t>
  </si>
  <si>
    <t>AOI07</t>
  </si>
  <si>
    <t>AOI08</t>
  </si>
  <si>
    <t>AOI09</t>
  </si>
  <si>
    <t>AOI10</t>
  </si>
  <si>
    <t>AOI11</t>
  </si>
  <si>
    <t>AOI12</t>
  </si>
  <si>
    <t>Wroclaw</t>
  </si>
  <si>
    <t>Scinawa</t>
  </si>
  <si>
    <t>Glogow</t>
  </si>
  <si>
    <t>Boleslawiec</t>
  </si>
  <si>
    <t>Nowogrod Bobrzanski</t>
  </si>
  <si>
    <t>Krosno Odanskie</t>
  </si>
  <si>
    <t>Frankfurt an der Oder</t>
  </si>
  <si>
    <t>Klodzko</t>
  </si>
  <si>
    <t>Bystrzyca Klodzca</t>
  </si>
  <si>
    <t>Paczkow</t>
  </si>
  <si>
    <t>Nysa city</t>
  </si>
  <si>
    <t>Kamieniec Zabkowicki</t>
  </si>
  <si>
    <t>Ladek Zdroj</t>
  </si>
  <si>
    <t>Stronie Slaskie</t>
  </si>
  <si>
    <t>Glucholazy</t>
  </si>
  <si>
    <t>-</t>
  </si>
  <si>
    <t>* is included in AoI 03</t>
  </si>
  <si>
    <t>AOI13*</t>
  </si>
  <si>
    <t>AOI14*</t>
  </si>
  <si>
    <t>AOI15*</t>
  </si>
  <si>
    <t>AOI16*</t>
  </si>
  <si>
    <t>AOI17*</t>
  </si>
  <si>
    <t>AOI18*</t>
  </si>
  <si>
    <t>AOI19*</t>
  </si>
  <si>
    <t>AOI20*</t>
  </si>
  <si>
    <t>Built-up [No.]</t>
  </si>
  <si>
    <t>EMSR756_ActivationSummaryTable_r20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</si>
</sst>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4" fillId="0" borderId="12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49" fontId="0" fillId="0" borderId="15" xfId="0" applyNumberForma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</cellXfs>
  <cellStyles count="2">
    <cellStyle name="Normal 3" xfId="1" xr:uid="{00000000-0005-0000-0000-000001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4"/>
  <sheetViews>
    <sheetView showGridLines="0" tabSelected="1" topLeftCell="A11" zoomScale="115" zoomScaleNormal="115" workbookViewId="0">
      <selection activeCell="B20" sqref="B20:B26"/>
    </sheetView>
  </sheetViews>
  <sheetFormatPr defaultColWidth="11.44140625" defaultRowHeight="14.4" x14ac:dyDescent="0.3"/>
  <cols>
    <col min="3" max="3" width="18.6640625" customWidth="1"/>
    <col min="4" max="4" width="23" bestFit="1" customWidth="1"/>
    <col min="5" max="5" width="22.88671875" bestFit="1" customWidth="1"/>
    <col min="6" max="6" width="13.109375" bestFit="1" customWidth="1"/>
    <col min="7" max="7" width="13.109375" customWidth="1"/>
    <col min="8" max="8" width="10.88671875" customWidth="1"/>
    <col min="9" max="9" width="19.44140625" customWidth="1"/>
  </cols>
  <sheetData>
    <row r="3" spans="2:9" x14ac:dyDescent="0.3">
      <c r="B3" s="1" t="s">
        <v>54</v>
      </c>
    </row>
    <row r="4" spans="2:9" ht="15" thickBot="1" x14ac:dyDescent="0.35"/>
    <row r="5" spans="2:9" x14ac:dyDescent="0.3">
      <c r="B5" s="33" t="s">
        <v>0</v>
      </c>
      <c r="C5" s="34"/>
      <c r="D5" s="33" t="s">
        <v>1</v>
      </c>
      <c r="E5" s="34"/>
      <c r="F5" s="33" t="s">
        <v>10</v>
      </c>
      <c r="G5" s="35"/>
      <c r="H5" s="35"/>
      <c r="I5" s="34"/>
    </row>
    <row r="6" spans="2:9" x14ac:dyDescent="0.3">
      <c r="B6" s="3" t="s">
        <v>2</v>
      </c>
      <c r="C6" s="5" t="s">
        <v>3</v>
      </c>
      <c r="D6" s="3" t="s">
        <v>8</v>
      </c>
      <c r="E6" s="5" t="s">
        <v>4</v>
      </c>
      <c r="F6" s="3" t="s">
        <v>11</v>
      </c>
      <c r="G6" s="27" t="s">
        <v>53</v>
      </c>
      <c r="H6" s="4" t="s">
        <v>5</v>
      </c>
      <c r="I6" s="5" t="s">
        <v>9</v>
      </c>
    </row>
    <row r="7" spans="2:9" ht="43.2" x14ac:dyDescent="0.3">
      <c r="B7" s="6" t="s">
        <v>6</v>
      </c>
      <c r="C7" s="7" t="s">
        <v>15</v>
      </c>
      <c r="D7" s="11">
        <v>760.6</v>
      </c>
      <c r="E7" s="12">
        <v>1647</v>
      </c>
      <c r="F7" s="8">
        <v>2.9</v>
      </c>
      <c r="G7" s="28"/>
      <c r="H7" s="13">
        <v>8.9</v>
      </c>
      <c r="I7" s="9">
        <v>30</v>
      </c>
    </row>
    <row r="8" spans="2:9" ht="57.6" x14ac:dyDescent="0.3">
      <c r="B8" s="6" t="s">
        <v>12</v>
      </c>
      <c r="C8" s="7" t="s">
        <v>16</v>
      </c>
      <c r="D8" s="11">
        <v>151.69999999999999</v>
      </c>
      <c r="E8" s="12">
        <v>383.2</v>
      </c>
      <c r="F8" s="31">
        <v>0.01</v>
      </c>
      <c r="G8" s="28"/>
      <c r="H8" s="13">
        <v>1.5</v>
      </c>
      <c r="I8" s="9">
        <v>20</v>
      </c>
    </row>
    <row r="9" spans="2:9" ht="28.8" x14ac:dyDescent="0.3">
      <c r="B9" s="6" t="s">
        <v>13</v>
      </c>
      <c r="C9" s="7" t="s">
        <v>17</v>
      </c>
      <c r="D9" s="11">
        <v>319</v>
      </c>
      <c r="E9" s="12">
        <v>5432.5</v>
      </c>
      <c r="F9" s="8">
        <v>0.6</v>
      </c>
      <c r="G9" s="28"/>
      <c r="H9" s="13">
        <v>6.1</v>
      </c>
      <c r="I9" s="9">
        <v>40</v>
      </c>
    </row>
    <row r="10" spans="2:9" ht="43.2" x14ac:dyDescent="0.3">
      <c r="B10" s="6" t="s">
        <v>14</v>
      </c>
      <c r="C10" s="7" t="s">
        <v>18</v>
      </c>
      <c r="D10" s="11">
        <v>1773.9</v>
      </c>
      <c r="E10" s="12">
        <v>3727.2</v>
      </c>
      <c r="F10" s="8">
        <v>17</v>
      </c>
      <c r="G10" s="28"/>
      <c r="H10" s="13">
        <v>53.5</v>
      </c>
      <c r="I10" s="9">
        <v>230</v>
      </c>
    </row>
    <row r="11" spans="2:9" ht="43.2" x14ac:dyDescent="0.3">
      <c r="B11" s="6" t="s">
        <v>19</v>
      </c>
      <c r="C11" s="7" t="s">
        <v>20</v>
      </c>
      <c r="D11" s="11">
        <v>68.900000000000006</v>
      </c>
      <c r="E11" s="12">
        <v>1540.5</v>
      </c>
      <c r="F11" s="8">
        <v>1</v>
      </c>
      <c r="G11" s="28"/>
      <c r="H11" s="13">
        <v>0.2</v>
      </c>
      <c r="I11" s="9">
        <v>20</v>
      </c>
    </row>
    <row r="12" spans="2:9" x14ac:dyDescent="0.3">
      <c r="B12" s="6" t="s">
        <v>21</v>
      </c>
      <c r="C12" s="10" t="s">
        <v>28</v>
      </c>
      <c r="D12" s="11">
        <v>2185.8000000000002</v>
      </c>
      <c r="E12" s="12">
        <v>15879.7</v>
      </c>
      <c r="F12" s="8">
        <v>250.4</v>
      </c>
      <c r="G12" s="28"/>
      <c r="H12" s="13">
        <v>143.6</v>
      </c>
      <c r="I12" s="9">
        <v>8100</v>
      </c>
    </row>
    <row r="13" spans="2:9" x14ac:dyDescent="0.3">
      <c r="B13" s="6" t="s">
        <v>22</v>
      </c>
      <c r="C13" s="10" t="s">
        <v>29</v>
      </c>
      <c r="D13" s="11">
        <v>923.1</v>
      </c>
      <c r="E13" s="12">
        <v>1026.5</v>
      </c>
      <c r="F13" s="31">
        <v>0</v>
      </c>
      <c r="G13" s="28"/>
      <c r="H13" s="13">
        <v>17.100000000000001</v>
      </c>
      <c r="I13" s="9">
        <v>30</v>
      </c>
    </row>
    <row r="14" spans="2:9" x14ac:dyDescent="0.3">
      <c r="B14" s="6" t="s">
        <v>23</v>
      </c>
      <c r="C14" s="10" t="s">
        <v>30</v>
      </c>
      <c r="D14" s="11">
        <v>3656.1</v>
      </c>
      <c r="E14" s="12">
        <v>3656.1</v>
      </c>
      <c r="F14" s="8">
        <v>34.799999999999997</v>
      </c>
      <c r="G14" s="28"/>
      <c r="H14" s="13">
        <v>98.7</v>
      </c>
      <c r="I14" s="9">
        <v>250</v>
      </c>
    </row>
    <row r="15" spans="2:9" x14ac:dyDescent="0.3">
      <c r="B15" s="6" t="s">
        <v>24</v>
      </c>
      <c r="C15" s="10" t="s">
        <v>31</v>
      </c>
      <c r="D15" s="11">
        <v>356.6</v>
      </c>
      <c r="E15" s="12">
        <v>356.6</v>
      </c>
      <c r="F15" s="8">
        <v>54.6</v>
      </c>
      <c r="G15" s="28"/>
      <c r="H15" s="13">
        <v>67.400000000000006</v>
      </c>
      <c r="I15" s="9">
        <v>700</v>
      </c>
    </row>
    <row r="16" spans="2:9" x14ac:dyDescent="0.3">
      <c r="B16" s="6" t="s">
        <v>25</v>
      </c>
      <c r="C16" s="10" t="s">
        <v>32</v>
      </c>
      <c r="D16" s="11">
        <v>290.3</v>
      </c>
      <c r="E16" s="12">
        <v>290.3</v>
      </c>
      <c r="F16" s="8">
        <v>2.9</v>
      </c>
      <c r="G16" s="28"/>
      <c r="H16" s="13">
        <v>3.3</v>
      </c>
      <c r="I16" s="9">
        <v>40</v>
      </c>
    </row>
    <row r="17" spans="2:9" x14ac:dyDescent="0.3">
      <c r="B17" s="6" t="s">
        <v>26</v>
      </c>
      <c r="C17" s="10" t="s">
        <v>33</v>
      </c>
      <c r="D17" s="11">
        <v>144.6</v>
      </c>
      <c r="E17" s="12">
        <v>144.6</v>
      </c>
      <c r="F17" s="30">
        <v>0.02</v>
      </c>
      <c r="G17" s="28"/>
      <c r="H17" s="13">
        <v>5.4</v>
      </c>
      <c r="I17" s="9">
        <v>10</v>
      </c>
    </row>
    <row r="18" spans="2:9" x14ac:dyDescent="0.3">
      <c r="B18" s="6" t="s">
        <v>27</v>
      </c>
      <c r="C18" s="10" t="s">
        <v>34</v>
      </c>
      <c r="D18" s="31">
        <v>0</v>
      </c>
      <c r="E18" s="31">
        <v>0</v>
      </c>
      <c r="F18" s="31">
        <v>0</v>
      </c>
      <c r="G18" s="28"/>
      <c r="H18" s="31">
        <v>0</v>
      </c>
      <c r="I18" s="9">
        <v>0</v>
      </c>
    </row>
    <row r="19" spans="2:9" x14ac:dyDescent="0.3">
      <c r="B19" s="6" t="s">
        <v>45</v>
      </c>
      <c r="C19" s="10" t="s">
        <v>35</v>
      </c>
      <c r="D19" s="11">
        <v>1.1000000000000001</v>
      </c>
      <c r="E19" s="12">
        <v>1.1000000000000001</v>
      </c>
      <c r="F19" s="8" t="s">
        <v>43</v>
      </c>
      <c r="G19" s="28">
        <v>45</v>
      </c>
      <c r="H19" s="13">
        <v>0.7</v>
      </c>
      <c r="I19" s="9">
        <v>100</v>
      </c>
    </row>
    <row r="20" spans="2:9" x14ac:dyDescent="0.3">
      <c r="B20" s="36" t="s">
        <v>46</v>
      </c>
      <c r="C20" s="10" t="s">
        <v>36</v>
      </c>
      <c r="D20" s="11">
        <v>0.4</v>
      </c>
      <c r="E20" s="12">
        <v>0.4</v>
      </c>
      <c r="F20" s="8" t="s">
        <v>43</v>
      </c>
      <c r="G20" s="28">
        <v>11</v>
      </c>
      <c r="H20" s="13" t="s">
        <v>43</v>
      </c>
      <c r="I20" s="9" t="s">
        <v>43</v>
      </c>
    </row>
    <row r="21" spans="2:9" x14ac:dyDescent="0.3">
      <c r="B21" s="36" t="s">
        <v>47</v>
      </c>
      <c r="C21" s="10" t="s">
        <v>37</v>
      </c>
      <c r="D21" s="11">
        <v>11.7</v>
      </c>
      <c r="E21" s="12">
        <f>D21</f>
        <v>11.7</v>
      </c>
      <c r="F21" s="8" t="s">
        <v>43</v>
      </c>
      <c r="G21" s="28">
        <v>37</v>
      </c>
      <c r="H21" s="13">
        <v>0.5</v>
      </c>
      <c r="I21" s="9">
        <v>40</v>
      </c>
    </row>
    <row r="22" spans="2:9" x14ac:dyDescent="0.3">
      <c r="B22" s="36" t="s">
        <v>48</v>
      </c>
      <c r="C22" s="10" t="s">
        <v>38</v>
      </c>
      <c r="D22" s="11">
        <v>9.6999999999999993</v>
      </c>
      <c r="E22" s="12">
        <v>9.6999999999999993</v>
      </c>
      <c r="F22" s="8" t="s">
        <v>43</v>
      </c>
      <c r="G22" s="28">
        <v>508</v>
      </c>
      <c r="H22" s="13">
        <v>7.5</v>
      </c>
      <c r="I22" s="9">
        <v>250</v>
      </c>
    </row>
    <row r="23" spans="2:9" x14ac:dyDescent="0.3">
      <c r="B23" s="36" t="s">
        <v>49</v>
      </c>
      <c r="C23" s="10" t="s">
        <v>39</v>
      </c>
      <c r="D23" s="11">
        <v>17.899999999999999</v>
      </c>
      <c r="E23" s="12">
        <f>D23</f>
        <v>17.899999999999999</v>
      </c>
      <c r="F23" s="8" t="s">
        <v>43</v>
      </c>
      <c r="G23" s="28">
        <v>43</v>
      </c>
      <c r="H23" s="13">
        <v>3.2</v>
      </c>
      <c r="I23" s="9">
        <v>150</v>
      </c>
    </row>
    <row r="24" spans="2:9" x14ac:dyDescent="0.3">
      <c r="B24" s="36" t="s">
        <v>50</v>
      </c>
      <c r="C24" s="10" t="s">
        <v>40</v>
      </c>
      <c r="D24" s="11">
        <v>1.7</v>
      </c>
      <c r="E24" s="12">
        <v>1.7</v>
      </c>
      <c r="F24" s="32" t="s">
        <v>43</v>
      </c>
      <c r="G24" s="8">
        <v>438</v>
      </c>
      <c r="H24" s="13">
        <v>7.9</v>
      </c>
      <c r="I24" s="9">
        <v>450</v>
      </c>
    </row>
    <row r="25" spans="2:9" x14ac:dyDescent="0.3">
      <c r="B25" s="36" t="s">
        <v>51</v>
      </c>
      <c r="C25" s="10" t="s">
        <v>41</v>
      </c>
      <c r="D25" s="11">
        <v>3.6</v>
      </c>
      <c r="E25" s="12">
        <v>15.6</v>
      </c>
      <c r="F25" s="8" t="s">
        <v>43</v>
      </c>
      <c r="G25" s="28">
        <v>540</v>
      </c>
      <c r="H25" s="13">
        <v>26</v>
      </c>
      <c r="I25" s="9">
        <v>1700</v>
      </c>
    </row>
    <row r="26" spans="2:9" ht="15" thickBot="1" x14ac:dyDescent="0.35">
      <c r="B26" s="37" t="s">
        <v>52</v>
      </c>
      <c r="C26" s="14" t="s">
        <v>42</v>
      </c>
      <c r="D26" s="15">
        <v>15.5</v>
      </c>
      <c r="E26" s="16">
        <v>15.5</v>
      </c>
      <c r="F26" s="17" t="s">
        <v>43</v>
      </c>
      <c r="G26" s="29">
        <v>1065</v>
      </c>
      <c r="H26" s="18">
        <v>16.3</v>
      </c>
      <c r="I26" s="19">
        <v>3000</v>
      </c>
    </row>
    <row r="27" spans="2:9" ht="15" thickBot="1" x14ac:dyDescent="0.35">
      <c r="B27" s="20"/>
      <c r="C27" s="21" t="s">
        <v>7</v>
      </c>
      <c r="D27" s="22">
        <f t="shared" ref="D27:I27" si="0">SUM(D7:D26)</f>
        <v>10692.200000000003</v>
      </c>
      <c r="E27" s="23">
        <f t="shared" si="0"/>
        <v>34157.799999999988</v>
      </c>
      <c r="F27" s="22">
        <f t="shared" si="0"/>
        <v>364.23</v>
      </c>
      <c r="G27" s="29">
        <f t="shared" si="0"/>
        <v>2687</v>
      </c>
      <c r="H27" s="24">
        <f t="shared" si="0"/>
        <v>467.79999999999995</v>
      </c>
      <c r="I27" s="25">
        <f t="shared" si="0"/>
        <v>15160</v>
      </c>
    </row>
    <row r="28" spans="2:9" x14ac:dyDescent="0.3">
      <c r="B28" s="26" t="s">
        <v>44</v>
      </c>
    </row>
    <row r="34" spans="4:4" x14ac:dyDescent="0.3">
      <c r="D34" s="2"/>
    </row>
  </sheetData>
  <mergeCells count="3">
    <mergeCell ref="B5:C5"/>
    <mergeCell ref="D5:E5"/>
    <mergeCell ref="F5:I5"/>
  </mergeCells>
  <phoneticPr fontId="3" type="noConversion"/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>GAF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Zipperer | GAF AG</dc:creator>
  <cp:lastModifiedBy>Mariano Alfonso Biscardi</cp:lastModifiedBy>
  <dcterms:created xsi:type="dcterms:W3CDTF">2023-07-27T07:51:02Z</dcterms:created>
  <dcterms:modified xsi:type="dcterms:W3CDTF">2024-09-26T01:11:29Z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e34829-0eee-47cd-a1a0-a84d7d4bb161_Enabled">
    <vt:lpwstr>true</vt:lpwstr>
  </property>
  <property fmtid="{D5CDD505-2E9C-101B-9397-08002B2CF9AE}" pid="3" name="MSIP_Label_5be34829-0eee-47cd-a1a0-a84d7d4bb161_SetDate">
    <vt:lpwstr>2024-06-01T23:26:37Z</vt:lpwstr>
  </property>
  <property fmtid="{D5CDD505-2E9C-101B-9397-08002B2CF9AE}" pid="4" name="MSIP_Label_5be34829-0eee-47cd-a1a0-a84d7d4bb161_Method">
    <vt:lpwstr>Privileged</vt:lpwstr>
  </property>
  <property fmtid="{D5CDD505-2E9C-101B-9397-08002B2CF9AE}" pid="5" name="MSIP_Label_5be34829-0eee-47cd-a1a0-a84d7d4bb161_Name">
    <vt:lpwstr>Company General Use with NO MARK</vt:lpwstr>
  </property>
  <property fmtid="{D5CDD505-2E9C-101B-9397-08002B2CF9AE}" pid="6" name="MSIP_Label_5be34829-0eee-47cd-a1a0-a84d7d4bb161_SiteId">
    <vt:lpwstr>e4fda1e2-a063-48c2-a133-cf4b3c22f5af</vt:lpwstr>
  </property>
  <property fmtid="{D5CDD505-2E9C-101B-9397-08002B2CF9AE}" pid="7" name="MSIP_Label_5be34829-0eee-47cd-a1a0-a84d7d4bb161_ActionId">
    <vt:lpwstr>965df3ec-250b-49c1-bfdc-501a13e55021</vt:lpwstr>
  </property>
  <property fmtid="{D5CDD505-2E9C-101B-9397-08002B2CF9AE}" pid="8" name="MSIP_Label_5be34829-0eee-47cd-a1a0-a84d7d4bb161_ContentBits">
    <vt:lpwstr>0</vt:lpwstr>
  </property>
</Properties>
</file>